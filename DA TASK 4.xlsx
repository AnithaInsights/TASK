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ejad\OneDrive\Desktop\"/>
    </mc:Choice>
  </mc:AlternateContent>
  <xr:revisionPtr revIDLastSave="0" documentId="8_{C54C84BB-F5BE-4E87-B97C-1A45E6828403}" xr6:coauthVersionLast="47" xr6:coauthVersionMax="47" xr10:uidLastSave="{00000000-0000-0000-0000-000000000000}"/>
  <bookViews>
    <workbookView xWindow="-108" yWindow="-108" windowWidth="23256" windowHeight="12456" xr2:uid="{53546E31-02F9-4457-B979-6110754182A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1" i="1" l="1"/>
  <c r="D30" i="1"/>
  <c r="D29" i="1"/>
  <c r="D28" i="1"/>
  <c r="D27" i="1"/>
  <c r="D26" i="1"/>
  <c r="D25" i="1"/>
  <c r="D24" i="1"/>
  <c r="D23" i="1"/>
  <c r="D22" i="1"/>
  <c r="F22" i="1"/>
  <c r="F21" i="1"/>
  <c r="D21" i="1"/>
  <c r="F20" i="1"/>
  <c r="F19" i="1"/>
  <c r="D19" i="1"/>
  <c r="D20" i="1"/>
  <c r="F18" i="1"/>
  <c r="D18" i="1"/>
  <c r="G17" i="1"/>
  <c r="F17" i="1"/>
  <c r="D17" i="1"/>
  <c r="D16" i="1"/>
  <c r="D15" i="1"/>
  <c r="D14" i="1"/>
</calcChain>
</file>

<file path=xl/sharedStrings.xml><?xml version="1.0" encoding="utf-8"?>
<sst xmlns="http://schemas.openxmlformats.org/spreadsheetml/2006/main" count="50" uniqueCount="40">
  <si>
    <t>ID</t>
  </si>
  <si>
    <t>Name</t>
  </si>
  <si>
    <t>Department</t>
  </si>
  <si>
    <t>Salary</t>
  </si>
  <si>
    <t>Bonus</t>
  </si>
  <si>
    <t>Marks</t>
  </si>
  <si>
    <t>City</t>
  </si>
  <si>
    <t>ramesh</t>
  </si>
  <si>
    <t>Sales</t>
  </si>
  <si>
    <t>suresh</t>
  </si>
  <si>
    <t>HR</t>
  </si>
  <si>
    <t>Mumbai</t>
  </si>
  <si>
    <t>anita</t>
  </si>
  <si>
    <t>IT</t>
  </si>
  <si>
    <t>raj</t>
  </si>
  <si>
    <t>kavya</t>
  </si>
  <si>
    <t>arjun</t>
  </si>
  <si>
    <t>meena</t>
  </si>
  <si>
    <t>vikram</t>
  </si>
  <si>
    <t>priya</t>
  </si>
  <si>
    <t>karthik</t>
  </si>
  <si>
    <t>Sum</t>
  </si>
  <si>
    <t>Max</t>
  </si>
  <si>
    <t>Count</t>
  </si>
  <si>
    <t>MEAN</t>
  </si>
  <si>
    <t>IF LOGICAL</t>
  </si>
  <si>
    <t>IF CONDITIONAL</t>
  </si>
  <si>
    <t>COUNTIF</t>
  </si>
  <si>
    <t>AVERAGIF</t>
  </si>
  <si>
    <t>UPPER</t>
  </si>
  <si>
    <t>LOWER</t>
  </si>
  <si>
    <t>PROPER</t>
  </si>
  <si>
    <t>Hyd</t>
  </si>
  <si>
    <t>Delhi</t>
  </si>
  <si>
    <t>Chennai</t>
  </si>
  <si>
    <t>Bangalore</t>
  </si>
  <si>
    <t>Pune</t>
  </si>
  <si>
    <t>Kolkata</t>
  </si>
  <si>
    <t>CONCAT</t>
  </si>
  <si>
    <t>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</si>
</sst>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3F3EA81-6F2E-42B2-B4A2-7C2DE2213244}" name="Table1" displayName="Table1" ref="A1:G11" totalsRowShown="0" headerRowDxfId="0">
  <autoFilter ref="A1:G11" xr:uid="{F3F3EA81-6F2E-42B2-B4A2-7C2DE2213244}"/>
  <tableColumns count="7">
    <tableColumn id="1" xr3:uid="{D4103A95-8AB7-4A0B-BB80-3EAB3DF19951}" name="ID"/>
    <tableColumn id="2" xr3:uid="{1BCE4DE9-A0B5-4C85-A84B-1BB348CF925E}" name="Name"/>
    <tableColumn id="3" xr3:uid="{DF8016BE-755D-4912-BFED-58FFB0F00A1C}" name="Department"/>
    <tableColumn id="4" xr3:uid="{BC57B24D-876C-4F35-822A-95ECD7028E44}" name="Salary"/>
    <tableColumn id="5" xr3:uid="{118D1A15-5EEA-4049-97C2-9349597D6680}" name="Bonus"/>
    <tableColumn id="6" xr3:uid="{21485B90-2392-4282-A061-3AB1C1A0CBE1}" name="Marks"/>
    <tableColumn id="7" xr3:uid="{C5316F68-2239-475E-BC9E-768FB14F1C11}" name="City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519D5D-71AC-4334-83D6-6F87365B74E8}">
  <dimension ref="A1:G31"/>
  <sheetViews>
    <sheetView tabSelected="1" workbookViewId="0">
      <selection activeCell="A18" sqref="A18"/>
    </sheetView>
  </sheetViews>
  <sheetFormatPr defaultRowHeight="14.4" x14ac:dyDescent="0.3"/>
  <cols>
    <col min="1" max="1" width="7.44140625" customWidth="1"/>
    <col min="2" max="2" width="9.77734375" customWidth="1"/>
    <col min="3" max="3" width="13.109375" customWidth="1"/>
    <col min="4" max="4" width="12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>
        <v>1</v>
      </c>
      <c r="B2" t="s">
        <v>7</v>
      </c>
      <c r="C2" t="s">
        <v>8</v>
      </c>
      <c r="D2">
        <v>25000</v>
      </c>
      <c r="E2">
        <v>2000</v>
      </c>
      <c r="F2">
        <v>78</v>
      </c>
      <c r="G2" t="s">
        <v>32</v>
      </c>
    </row>
    <row r="3" spans="1:7" x14ac:dyDescent="0.3">
      <c r="A3">
        <v>2</v>
      </c>
      <c r="B3" t="s">
        <v>9</v>
      </c>
      <c r="C3" t="s">
        <v>10</v>
      </c>
      <c r="D3">
        <v>30000</v>
      </c>
      <c r="E3">
        <v>3000</v>
      </c>
      <c r="F3">
        <v>85</v>
      </c>
      <c r="G3" t="s">
        <v>11</v>
      </c>
    </row>
    <row r="4" spans="1:7" x14ac:dyDescent="0.3">
      <c r="A4">
        <v>3</v>
      </c>
      <c r="B4" t="s">
        <v>12</v>
      </c>
      <c r="C4" t="s">
        <v>13</v>
      </c>
      <c r="D4">
        <v>45000</v>
      </c>
      <c r="E4">
        <v>5000</v>
      </c>
      <c r="F4">
        <v>92</v>
      </c>
      <c r="G4" t="s">
        <v>33</v>
      </c>
    </row>
    <row r="5" spans="1:7" x14ac:dyDescent="0.3">
      <c r="A5">
        <v>4</v>
      </c>
      <c r="B5" t="s">
        <v>14</v>
      </c>
      <c r="C5" t="s">
        <v>8</v>
      </c>
      <c r="D5">
        <v>28000</v>
      </c>
      <c r="E5">
        <v>2500</v>
      </c>
      <c r="F5">
        <v>67</v>
      </c>
      <c r="G5" t="s">
        <v>34</v>
      </c>
    </row>
    <row r="6" spans="1:7" x14ac:dyDescent="0.3">
      <c r="A6">
        <v>5</v>
      </c>
      <c r="B6" t="s">
        <v>15</v>
      </c>
      <c r="C6" t="s">
        <v>13</v>
      </c>
      <c r="D6">
        <v>50000</v>
      </c>
      <c r="E6">
        <v>6000</v>
      </c>
      <c r="F6">
        <v>88</v>
      </c>
      <c r="G6" t="s">
        <v>35</v>
      </c>
    </row>
    <row r="7" spans="1:7" x14ac:dyDescent="0.3">
      <c r="A7">
        <v>6</v>
      </c>
      <c r="B7" t="s">
        <v>16</v>
      </c>
      <c r="C7" t="s">
        <v>10</v>
      </c>
      <c r="D7">
        <v>32000</v>
      </c>
      <c r="E7">
        <v>3500</v>
      </c>
      <c r="F7">
        <v>74</v>
      </c>
      <c r="G7" t="s">
        <v>36</v>
      </c>
    </row>
    <row r="8" spans="1:7" x14ac:dyDescent="0.3">
      <c r="A8">
        <v>7</v>
      </c>
      <c r="B8" t="s">
        <v>17</v>
      </c>
      <c r="C8" t="s">
        <v>8</v>
      </c>
      <c r="D8">
        <v>27000</v>
      </c>
      <c r="E8">
        <v>2200</v>
      </c>
      <c r="F8">
        <v>81</v>
      </c>
      <c r="G8" t="s">
        <v>37</v>
      </c>
    </row>
    <row r="9" spans="1:7" x14ac:dyDescent="0.3">
      <c r="A9">
        <v>8</v>
      </c>
      <c r="B9" t="s">
        <v>18</v>
      </c>
      <c r="C9" t="s">
        <v>13</v>
      </c>
      <c r="D9">
        <v>48000</v>
      </c>
      <c r="E9">
        <v>5500</v>
      </c>
      <c r="F9">
        <v>90</v>
      </c>
      <c r="G9" t="s">
        <v>32</v>
      </c>
    </row>
    <row r="10" spans="1:7" x14ac:dyDescent="0.3">
      <c r="A10">
        <v>9</v>
      </c>
      <c r="B10" t="s">
        <v>19</v>
      </c>
      <c r="C10" t="s">
        <v>10</v>
      </c>
      <c r="D10">
        <v>31000</v>
      </c>
      <c r="E10">
        <v>3000</v>
      </c>
      <c r="F10">
        <v>79</v>
      </c>
      <c r="G10" t="s">
        <v>33</v>
      </c>
    </row>
    <row r="11" spans="1:7" x14ac:dyDescent="0.3">
      <c r="A11">
        <v>10</v>
      </c>
      <c r="B11" t="s">
        <v>20</v>
      </c>
      <c r="C11" t="s">
        <v>8</v>
      </c>
      <c r="D11">
        <v>26000</v>
      </c>
      <c r="E11">
        <v>2100</v>
      </c>
      <c r="F11">
        <v>72</v>
      </c>
      <c r="G11" t="s">
        <v>11</v>
      </c>
    </row>
    <row r="14" spans="1:7" x14ac:dyDescent="0.3">
      <c r="A14" s="1" t="s">
        <v>21</v>
      </c>
      <c r="B14" s="1"/>
      <c r="D14">
        <f>SUM(D2:D11)</f>
        <v>342000</v>
      </c>
    </row>
    <row r="15" spans="1:7" x14ac:dyDescent="0.3">
      <c r="A15" s="1" t="s">
        <v>39</v>
      </c>
      <c r="B15" s="1"/>
      <c r="D15">
        <f>MIN(D2:D11)</f>
        <v>25000</v>
      </c>
    </row>
    <row r="16" spans="1:7" x14ac:dyDescent="0.3">
      <c r="A16" s="1" t="s">
        <v>22</v>
      </c>
      <c r="B16" s="1"/>
      <c r="D16">
        <f>MAX(D2:D11)</f>
        <v>50000</v>
      </c>
    </row>
    <row r="17" spans="1:7" x14ac:dyDescent="0.3">
      <c r="A17" s="1" t="s">
        <v>23</v>
      </c>
      <c r="B17" s="1"/>
      <c r="D17">
        <f>COUNT(D2:D11)</f>
        <v>10</v>
      </c>
      <c r="F17">
        <f>COUNTA(Table1[Name])</f>
        <v>10</v>
      </c>
      <c r="G17">
        <f>COUNTA(Table1[Marks])</f>
        <v>10</v>
      </c>
    </row>
    <row r="18" spans="1:7" x14ac:dyDescent="0.3">
      <c r="A18" s="1" t="s">
        <v>24</v>
      </c>
      <c r="B18" s="1"/>
      <c r="D18">
        <f>AVERAGE(D2:D11)</f>
        <v>34200</v>
      </c>
      <c r="F18">
        <f>AVERAGE(F2:F11)</f>
        <v>80.599999999999994</v>
      </c>
    </row>
    <row r="19" spans="1:7" x14ac:dyDescent="0.3">
      <c r="A19" s="1" t="s">
        <v>25</v>
      </c>
      <c r="B19" s="1"/>
      <c r="D19" t="str">
        <f>IF(F3&gt;=80,"Excellent","Average")</f>
        <v>Excellent</v>
      </c>
      <c r="F19" t="str">
        <f>IF(F2&gt;=80,"PASS","FAIL")</f>
        <v>FAIL</v>
      </c>
    </row>
    <row r="20" spans="1:7" x14ac:dyDescent="0.3">
      <c r="A20" s="1" t="s">
        <v>26</v>
      </c>
      <c r="B20" s="1"/>
      <c r="D20">
        <f>SUMIF(Table1[Department],"Sales",Table1[Salary])</f>
        <v>106000</v>
      </c>
      <c r="F20">
        <f>SUMIF(Table1[Department], "HR",Table1[Salary])</f>
        <v>93000</v>
      </c>
    </row>
    <row r="21" spans="1:7" x14ac:dyDescent="0.3">
      <c r="A21" s="1" t="s">
        <v>27</v>
      </c>
      <c r="B21" s="1"/>
      <c r="D21">
        <f>COUNTIF(Table1[Department],"Sales")</f>
        <v>4</v>
      </c>
      <c r="F21">
        <f>COUNTIF(Table1[Salary], 45000)</f>
        <v>1</v>
      </c>
    </row>
    <row r="22" spans="1:7" ht="13.8" customHeight="1" x14ac:dyDescent="0.3">
      <c r="A22" s="1" t="s">
        <v>28</v>
      </c>
      <c r="B22" s="1"/>
      <c r="D22">
        <f>AVERAGEIF(C2:C11,"HR",F2:F11)</f>
        <v>79.333333333333329</v>
      </c>
      <c r="F22">
        <f>AVERAGEIF(Table1[Department],"Sales",Table1[Marks])</f>
        <v>74.5</v>
      </c>
    </row>
    <row r="23" spans="1:7" x14ac:dyDescent="0.3">
      <c r="A23" s="1" t="s">
        <v>29</v>
      </c>
      <c r="B23" s="1"/>
      <c r="D23" t="str">
        <f>UPPER(B4)</f>
        <v>ANITA</v>
      </c>
    </row>
    <row r="24" spans="1:7" x14ac:dyDescent="0.3">
      <c r="A24" s="1"/>
      <c r="B24" s="1"/>
      <c r="D24" t="str">
        <f>UPPER(G6)</f>
        <v>BANGALORE</v>
      </c>
    </row>
    <row r="25" spans="1:7" x14ac:dyDescent="0.3">
      <c r="A25" s="1" t="s">
        <v>30</v>
      </c>
      <c r="B25" s="1"/>
      <c r="D25" t="str">
        <f>LOWER(B11)</f>
        <v>karthik</v>
      </c>
    </row>
    <row r="26" spans="1:7" x14ac:dyDescent="0.3">
      <c r="A26" s="1"/>
      <c r="B26" s="1"/>
      <c r="D26" t="str">
        <f>LOWER(G11)</f>
        <v>mumbai</v>
      </c>
    </row>
    <row r="27" spans="1:7" x14ac:dyDescent="0.3">
      <c r="A27" s="1" t="s">
        <v>31</v>
      </c>
      <c r="B27" s="1"/>
      <c r="D27" t="str">
        <f>PROPER(B9)</f>
        <v>Vikram</v>
      </c>
    </row>
    <row r="28" spans="1:7" x14ac:dyDescent="0.3">
      <c r="D28" t="str">
        <f>PROPER(B2)</f>
        <v>Ramesh</v>
      </c>
    </row>
    <row r="29" spans="1:7" x14ac:dyDescent="0.3">
      <c r="D29" t="str">
        <f>PROPER(G8)</f>
        <v>Kolkata</v>
      </c>
    </row>
    <row r="30" spans="1:7" x14ac:dyDescent="0.3">
      <c r="A30" s="1" t="s">
        <v>38</v>
      </c>
      <c r="D30" t="str">
        <f>_xlfn.CONCAT(B6," ",G6)</f>
        <v>kavya Bangalore</v>
      </c>
    </row>
    <row r="31" spans="1:7" x14ac:dyDescent="0.3">
      <c r="D31" t="str">
        <f>_xlfn.CONCAT(B11," ",G11)</f>
        <v>karthik Mumbai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TEJA D</dc:creator>
  <cp:lastModifiedBy>TEJA D</cp:lastModifiedBy>
  <dcterms:created xsi:type="dcterms:W3CDTF">2026-05-05T08:06:43Z</dcterms:created>
  <dcterms:modified xsi:type="dcterms:W3CDTF">2026-05-05T08:30:29Z</dcterms:modified>
</cp:coreProperties>
</file>